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OneDrive\Desktop\Sales Data Entry &amp; Analysis\"/>
    </mc:Choice>
  </mc:AlternateContent>
  <xr:revisionPtr revIDLastSave="0" documentId="13_ncr:1_{5950DD5A-02E9-4BA1-BAF4-075162A8B852}" xr6:coauthVersionLast="47" xr6:coauthVersionMax="47" xr10:uidLastSave="{00000000-0000-0000-0000-000000000000}"/>
  <bookViews>
    <workbookView xWindow="-120" yWindow="-120" windowWidth="20730" windowHeight="11040" activeTab="2" xr2:uid="{00000000-000D-0000-FFFF-FFFF00000000}"/>
  </bookViews>
  <sheets>
    <sheet name="Raw Data" sheetId="1" r:id="rId1"/>
    <sheet name="Pivot Table " sheetId="2" r:id="rId2"/>
    <sheet name="Dashboard" sheetId="3" r:id="rId3"/>
  </sheets>
  <definedNames>
    <definedName name="Slicer_Product">#N/A</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3" l="1"/>
  <c r="B3" i="3"/>
  <c r="C3" i="3"/>
  <c r="D3" i="3"/>
</calcChain>
</file>

<file path=xl/sharedStrings.xml><?xml version="1.0" encoding="utf-8"?>
<sst xmlns="http://schemas.openxmlformats.org/spreadsheetml/2006/main" count="232" uniqueCount="125">
  <si>
    <t>Order ID</t>
  </si>
  <si>
    <t>Date</t>
  </si>
  <si>
    <t>Customer Name</t>
  </si>
  <si>
    <t>Product</t>
  </si>
  <si>
    <t>Region</t>
  </si>
  <si>
    <t>Quantity</t>
  </si>
  <si>
    <t>Unit Price</t>
  </si>
  <si>
    <t>Total Sales</t>
  </si>
  <si>
    <t>ORD001</t>
  </si>
  <si>
    <t>Rahul Sharma</t>
  </si>
  <si>
    <t>Laptop</t>
  </si>
  <si>
    <t>North</t>
  </si>
  <si>
    <t>ORD002</t>
  </si>
  <si>
    <t>Priya Singh</t>
  </si>
  <si>
    <t>Mouse</t>
  </si>
  <si>
    <t>South</t>
  </si>
  <si>
    <t>ORD003</t>
  </si>
  <si>
    <t>Aman Verma</t>
  </si>
  <si>
    <t>Keyboard</t>
  </si>
  <si>
    <t>East</t>
  </si>
  <si>
    <t>ORD004</t>
  </si>
  <si>
    <t>Neha Gupta</t>
  </si>
  <si>
    <t>Monitor</t>
  </si>
  <si>
    <t>West</t>
  </si>
  <si>
    <t>ORD005</t>
  </si>
  <si>
    <t>Rohit Kumar</t>
  </si>
  <si>
    <t>ORD006</t>
  </si>
  <si>
    <t>Pooja Yadav</t>
  </si>
  <si>
    <t>ORD007</t>
  </si>
  <si>
    <t>Ankit Singh</t>
  </si>
  <si>
    <t>ORD008</t>
  </si>
  <si>
    <t>Simran Verma</t>
  </si>
  <si>
    <t>ORD009</t>
  </si>
  <si>
    <t>Vikas Gupta</t>
  </si>
  <si>
    <t>ORD010</t>
  </si>
  <si>
    <t>Riya Sharma</t>
  </si>
  <si>
    <t>ORD011</t>
  </si>
  <si>
    <t>Arjun Kumar</t>
  </si>
  <si>
    <t>ORD012</t>
  </si>
  <si>
    <t>Kajal Singh</t>
  </si>
  <si>
    <t>ORD013</t>
  </si>
  <si>
    <t>Sumit Yadav</t>
  </si>
  <si>
    <t>ORD014</t>
  </si>
  <si>
    <t>Anjali Gupta</t>
  </si>
  <si>
    <t>ORD015</t>
  </si>
  <si>
    <t>Deepak Verma</t>
  </si>
  <si>
    <t>ORD016</t>
  </si>
  <si>
    <t>Sakshi Sharma</t>
  </si>
  <si>
    <t>ORD017</t>
  </si>
  <si>
    <t>Nitin Singh</t>
  </si>
  <si>
    <t>ORD018</t>
  </si>
  <si>
    <t>Komal Yadav</t>
  </si>
  <si>
    <t>ORD019</t>
  </si>
  <si>
    <t>Varun Gupta</t>
  </si>
  <si>
    <t>ORD020</t>
  </si>
  <si>
    <t>Shivani Kumar</t>
  </si>
  <si>
    <t>ORD021</t>
  </si>
  <si>
    <t>Mohit Sharma</t>
  </si>
  <si>
    <t>ORD022</t>
  </si>
  <si>
    <t>Ritika Singh</t>
  </si>
  <si>
    <t>ORD023</t>
  </si>
  <si>
    <t>Abhishek Verma</t>
  </si>
  <si>
    <t>ORD024</t>
  </si>
  <si>
    <t>Tanya Gupta</t>
  </si>
  <si>
    <t>ORD025</t>
  </si>
  <si>
    <t>Saurabh Yadav</t>
  </si>
  <si>
    <t>ORD026</t>
  </si>
  <si>
    <t>Shreya Singh</t>
  </si>
  <si>
    <t>ORD027</t>
  </si>
  <si>
    <t>Manish Kumar</t>
  </si>
  <si>
    <t>ORD028</t>
  </si>
  <si>
    <t>Preeti Sharma</t>
  </si>
  <si>
    <t>ORD029</t>
  </si>
  <si>
    <t>Akash Gupta</t>
  </si>
  <si>
    <t>ORD030</t>
  </si>
  <si>
    <t>Divya Verma</t>
  </si>
  <si>
    <t>ORD031</t>
  </si>
  <si>
    <t>Raj Kumar</t>
  </si>
  <si>
    <t>ORD032</t>
  </si>
  <si>
    <t>Nisha Yadav</t>
  </si>
  <si>
    <t>ORD033</t>
  </si>
  <si>
    <t>Karan Singh</t>
  </si>
  <si>
    <t>ORD034</t>
  </si>
  <si>
    <t>Muskan Gupta</t>
  </si>
  <si>
    <t>ORD035</t>
  </si>
  <si>
    <t>Harsh Verma</t>
  </si>
  <si>
    <t>ORD036</t>
  </si>
  <si>
    <t>Aarti Sharma</t>
  </si>
  <si>
    <t>ORD037</t>
  </si>
  <si>
    <t>Gaurav Kumar</t>
  </si>
  <si>
    <t>ORD038</t>
  </si>
  <si>
    <t>Rashmi Singh</t>
  </si>
  <si>
    <t>ORD039</t>
  </si>
  <si>
    <t>Manoj Yadav</t>
  </si>
  <si>
    <t>ORD040</t>
  </si>
  <si>
    <t>Isha Gupta</t>
  </si>
  <si>
    <t>ORD041</t>
  </si>
  <si>
    <t>Varun Sharma</t>
  </si>
  <si>
    <t>ORD042</t>
  </si>
  <si>
    <t>Payal Verma</t>
  </si>
  <si>
    <t>ORD043</t>
  </si>
  <si>
    <t>Ravi Singh</t>
  </si>
  <si>
    <t>ORD044</t>
  </si>
  <si>
    <t>Shalini Yadav</t>
  </si>
  <si>
    <t>ORD045</t>
  </si>
  <si>
    <t>Ajay Kumar</t>
  </si>
  <si>
    <t>ORD046</t>
  </si>
  <si>
    <t>Monika Gupta</t>
  </si>
  <si>
    <t>ORD047</t>
  </si>
  <si>
    <t>Rajesh Verma</t>
  </si>
  <si>
    <t>ORD048</t>
  </si>
  <si>
    <t>Swati Sharma</t>
  </si>
  <si>
    <t>ORD049</t>
  </si>
  <si>
    <t>Vivek Yadav</t>
  </si>
  <si>
    <t>ORD050</t>
  </si>
  <si>
    <t>Shweta Singh</t>
  </si>
  <si>
    <t>Row Labels</t>
  </si>
  <si>
    <t>Grand Total</t>
  </si>
  <si>
    <t>Sum of Total Sales</t>
  </si>
  <si>
    <t>Jan</t>
  </si>
  <si>
    <t>Feb</t>
  </si>
  <si>
    <t>Total Order</t>
  </si>
  <si>
    <t>Average Sales</t>
  </si>
  <si>
    <t>Total Quantity</t>
  </si>
  <si>
    <t xml:space="preserve">                                   Sales Dashboard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</si>
</sst>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x14ac:knownFonts="1">
    <font>
      <sz val="11"/>
      <color theme="1"/>
      <name val="Calibri"/>
      <family val="2"/>
      <scheme val="minor"/>
    </font>
    <font>
      <b/>
      <sz val="11"/>
      <color theme="0"/>
      <name val="Calibri"/>
      <family val="2"/>
      <scheme val="minor"/>
    </font>
    <font>
      <sz val="11"/>
      <color rgb="FF590000"/>
      <name val="Calibri"/>
      <family val="2"/>
      <scheme val="minor"/>
    </font>
    <font>
      <sz val="18"/>
      <color rgb="FF590000"/>
      <name val="Arial Black"/>
      <family val="2"/>
    </font>
    <font>
      <sz val="11"/>
      <color theme="7" tint="-0.499984740745262"/>
      <name val="Aptos Display"/>
      <family val="2"/>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5" tint="0.39997558519241921"/>
        <bgColor indexed="64"/>
      </patternFill>
    </fill>
  </fills>
  <borders count="5">
    <border>
      <left/>
      <right/>
      <top/>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164" fontId="0" fillId="0" borderId="0" xfId="0" applyNumberFormat="1"/>
    <xf numFmtId="0" fontId="0" fillId="0" borderId="0" xfId="0" pivotButton="1"/>
    <xf numFmtId="0" fontId="0" fillId="0" borderId="0" xfId="0" applyAlignment="1">
      <alignment horizontal="left"/>
    </xf>
    <xf numFmtId="0" fontId="1" fillId="2" borderId="2" xfId="0" applyFont="1" applyFill="1" applyBorder="1"/>
    <xf numFmtId="164" fontId="1" fillId="2" borderId="1" xfId="0" applyNumberFormat="1" applyFont="1" applyFill="1" applyBorder="1"/>
    <xf numFmtId="0" fontId="1" fillId="2" borderId="1" xfId="0" applyFont="1" applyFill="1" applyBorder="1"/>
    <xf numFmtId="0" fontId="1" fillId="2" borderId="3" xfId="0" applyFont="1" applyFill="1" applyBorder="1"/>
    <xf numFmtId="0" fontId="0" fillId="3" borderId="2" xfId="0" applyFill="1" applyBorder="1"/>
    <xf numFmtId="164" fontId="0" fillId="3" borderId="1" xfId="0" applyNumberFormat="1" applyFill="1" applyBorder="1"/>
    <xf numFmtId="0" fontId="0" fillId="3" borderId="1" xfId="0" applyFill="1" applyBorder="1"/>
    <xf numFmtId="0" fontId="0" fillId="3" borderId="3" xfId="0" applyFill="1" applyBorder="1"/>
    <xf numFmtId="0" fontId="0" fillId="0" borderId="2" xfId="0" applyBorder="1"/>
    <xf numFmtId="164" fontId="0" fillId="0" borderId="1" xfId="0" applyNumberFormat="1" applyBorder="1"/>
    <xf numFmtId="0" fontId="0" fillId="0" borderId="1" xfId="0" applyBorder="1"/>
    <xf numFmtId="0" fontId="0" fillId="0" borderId="3" xfId="0" applyBorder="1"/>
    <xf numFmtId="0" fontId="2" fillId="4" borderId="0" xfId="0" applyFont="1" applyFill="1"/>
    <xf numFmtId="0" fontId="3" fillId="4" borderId="0" xfId="0" applyFont="1" applyFill="1" applyAlignment="1">
      <alignment horizontal="center"/>
    </xf>
    <xf numFmtId="0" fontId="4" fillId="5" borderId="4" xfId="0" applyFont="1" applyFill="1" applyBorder="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[Sales_Data_Analysis.xlsx]Pivot Table !PivotTable1</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'!$A$4:$A$8</c:f>
              <c:strCache>
                <c:ptCount val="4"/>
                <c:pt idx="0">
                  <c:v>East</c:v>
                </c:pt>
                <c:pt idx="1">
                  <c:v>North</c:v>
                </c:pt>
                <c:pt idx="2">
                  <c:v>South</c:v>
                </c:pt>
                <c:pt idx="3">
                  <c:v>West</c:v>
                </c:pt>
              </c:strCache>
            </c:strRef>
          </c:cat>
          <c:val>
            <c:numRef>
              <c:f>'Pivot Table '!$B$4:$B$8</c:f>
              <c:numCache>
                <c:formatCode>General</c:formatCode>
                <c:ptCount val="4"/>
                <c:pt idx="0">
                  <c:v>489700</c:v>
                </c:pt>
                <c:pt idx="1">
                  <c:v>476800</c:v>
                </c:pt>
                <c:pt idx="2">
                  <c:v>214000</c:v>
                </c:pt>
                <c:pt idx="3">
                  <c:v>156400</c:v>
                </c:pt>
              </c:numCache>
            </c:numRef>
          </c:val>
          <c:extLst>
            <c:ext xmlns:c16="http://schemas.microsoft.com/office/drawing/2014/chart" uri="{C3380CC4-5D6E-409C-BE32-E72D297353CC}">
              <c16:uniqueId val="{00000000-7AE7-4D63-ADF6-F8E35CC87CA8}"/>
            </c:ext>
          </c:extLst>
        </c:ser>
        <c:dLbls>
          <c:showLegendKey val="0"/>
          <c:showVal val="0"/>
          <c:showCatName val="0"/>
          <c:showSerName val="0"/>
          <c:showPercent val="0"/>
          <c:showBubbleSize val="0"/>
        </c:dLbls>
        <c:gapWidth val="100"/>
        <c:overlap val="-24"/>
        <c:axId val="644868992"/>
        <c:axId val="319637104"/>
      </c:barChart>
      <c:catAx>
        <c:axId val="6448689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9637104"/>
        <c:crosses val="autoZero"/>
        <c:auto val="1"/>
        <c:lblAlgn val="ctr"/>
        <c:lblOffset val="100"/>
        <c:noMultiLvlLbl val="0"/>
      </c:catAx>
      <c:valAx>
        <c:axId val="3196371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486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[Sales_Data_Analysis.xlsx]Pivot Table !PivotTable2</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'!$E$4:$E$8</c:f>
              <c:strCache>
                <c:ptCount val="4"/>
                <c:pt idx="0">
                  <c:v>Keyboard</c:v>
                </c:pt>
                <c:pt idx="1">
                  <c:v>Laptop</c:v>
                </c:pt>
                <c:pt idx="2">
                  <c:v>Monitor</c:v>
                </c:pt>
                <c:pt idx="3">
                  <c:v>Mouse</c:v>
                </c:pt>
              </c:strCache>
            </c:strRef>
          </c:cat>
          <c:val>
            <c:numRef>
              <c:f>'Pivot Table '!$F$4:$F$8</c:f>
              <c:numCache>
                <c:formatCode>General</c:formatCode>
                <c:ptCount val="4"/>
                <c:pt idx="0">
                  <c:v>82500</c:v>
                </c:pt>
                <c:pt idx="1">
                  <c:v>900000</c:v>
                </c:pt>
                <c:pt idx="2">
                  <c:v>288000</c:v>
                </c:pt>
                <c:pt idx="3">
                  <c:v>66400</c:v>
                </c:pt>
              </c:numCache>
            </c:numRef>
          </c:val>
          <c:extLst>
            <c:ext xmlns:c16="http://schemas.microsoft.com/office/drawing/2014/chart" uri="{C3380CC4-5D6E-409C-BE32-E72D297353CC}">
              <c16:uniqueId val="{00000000-7F65-4A0C-A46B-6B23295F8425}"/>
            </c:ext>
          </c:extLst>
        </c:ser>
        <c:dLbls>
          <c:showLegendKey val="0"/>
          <c:showVal val="0"/>
          <c:showCatName val="0"/>
          <c:showSerName val="0"/>
          <c:showPercent val="0"/>
          <c:showBubbleSize val="0"/>
        </c:dLbls>
        <c:gapWidth val="100"/>
        <c:overlap val="-24"/>
        <c:axId val="698813248"/>
        <c:axId val="903633456"/>
      </c:barChart>
      <c:catAx>
        <c:axId val="6988132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3633456"/>
        <c:crosses val="autoZero"/>
        <c:auto val="1"/>
        <c:lblAlgn val="ctr"/>
        <c:lblOffset val="100"/>
        <c:noMultiLvlLbl val="0"/>
      </c:catAx>
      <c:valAx>
        <c:axId val="9036334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8813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[Sales_Data_Analysis.xlsx]Pivot Table !PivotTable4</c:name>
    <c:fmtId val="8"/>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'!$J$3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'!$I$4:$I$6</c:f>
              <c:strCache>
                <c:ptCount val="2"/>
                <c:pt idx="0">
                  <c:v>Jan</c:v>
                </c:pt>
                <c:pt idx="1">
                  <c:v>Feb</c:v>
                </c:pt>
              </c:strCache>
            </c:strRef>
          </c:cat>
          <c:val>
            <c:numRef>
              <c:f>'Pivot Table '!$J$4:$J$6</c:f>
              <c:numCache>
                <c:formatCode>General</c:formatCode>
                <c:ptCount val="2"/>
                <c:pt idx="0">
                  <c:v>850100</c:v>
                </c:pt>
                <c:pt idx="1">
                  <c:v>486800</c:v>
                </c:pt>
              </c:numCache>
            </c:numRef>
          </c:val>
          <c:smooth val="0"/>
          <c:extLst>
            <c:ext xmlns:c16="http://schemas.microsoft.com/office/drawing/2014/chart" uri="{C3380CC4-5D6E-409C-BE32-E72D297353CC}">
              <c16:uniqueId val="{00000000-1D80-401F-82A6-5488449A497F}"/>
            </c:ext>
          </c:extLst>
        </c:ser>
        <c:dLbls>
          <c:dLblPos val="ctr"/>
          <c:showLegendKey val="0"/>
          <c:showVal val="1"/>
          <c:showCatName val="0"/>
          <c:showSerName val="0"/>
          <c:showPercent val="0"/>
          <c:showBubbleSize val="0"/>
        </c:dLbls>
        <c:marker val="1"/>
        <c:smooth val="0"/>
        <c:axId val="793893408"/>
        <c:axId val="903683376"/>
      </c:lineChart>
      <c:catAx>
        <c:axId val="7938934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3683376"/>
        <c:crosses val="autoZero"/>
        <c:auto val="1"/>
        <c:lblAlgn val="ctr"/>
        <c:lblOffset val="100"/>
        <c:noMultiLvlLbl val="0"/>
      </c:catAx>
      <c:valAx>
        <c:axId val="9036833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389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9525</xdr:rowOff>
    </xdr:from>
    <xdr:to>
      <xdr:col>3</xdr:col>
      <xdr:colOff>0</xdr:colOff>
      <xdr:row>13</xdr:row>
      <xdr:rowOff>123825</xdr:rowOff>
    </xdr:to>
    <xdr:graphicFrame macro="">
      <xdr:nvGraphicFramePr>
        <xdr:cNvPr id="2" name="Chart 1">
          <a:extLst>
            <a:ext uri="{FF2B5EF4-FFF2-40B4-BE49-F238E27FC236}">
              <a16:creationId xmlns:a16="http://schemas.microsoft.com/office/drawing/2014/main" id="{2BD9622E-E169-4E91-A4BF-FCFC7D70A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28575</xdr:colOff>
      <xdr:row>4</xdr:row>
      <xdr:rowOff>9525</xdr:rowOff>
    </xdr:from>
    <xdr:to>
      <xdr:col>7</xdr:col>
      <xdr:colOff>294513</xdr:colOff>
      <xdr:row>13</xdr:row>
      <xdr:rowOff>123825</xdr:rowOff>
    </xdr:to>
    <xdr:graphicFrame macro="">
      <xdr:nvGraphicFramePr>
        <xdr:cNvPr id="3" name="Chart 2">
          <a:extLst>
            <a:ext uri="{FF2B5EF4-FFF2-40B4-BE49-F238E27FC236}">
              <a16:creationId xmlns:a16="http://schemas.microsoft.com/office/drawing/2014/main" id="{EA722C1C-E9DB-4341-A125-36939E5B9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333375</xdr:colOff>
      <xdr:row>4</xdr:row>
      <xdr:rowOff>0</xdr:rowOff>
    </xdr:from>
    <xdr:to>
      <xdr:col>12</xdr:col>
      <xdr:colOff>275463</xdr:colOff>
      <xdr:row>13</xdr:row>
      <xdr:rowOff>114300</xdr:rowOff>
    </xdr:to>
    <xdr:graphicFrame macro="">
      <xdr:nvGraphicFramePr>
        <xdr:cNvPr id="4" name="Chart 3">
          <a:extLst>
            <a:ext uri="{FF2B5EF4-FFF2-40B4-BE49-F238E27FC236}">
              <a16:creationId xmlns:a16="http://schemas.microsoft.com/office/drawing/2014/main" id="{98748E3A-77E6-4AF8-8F30-C3C78AAE2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57148</xdr:colOff>
      <xdr:row>0</xdr:row>
      <xdr:rowOff>9526</xdr:rowOff>
    </xdr:from>
    <xdr:to>
      <xdr:col>8</xdr:col>
      <xdr:colOff>142875</xdr:colOff>
      <xdr:row>4</xdr:row>
      <xdr:rowOff>0</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2D55BB8A-62CA-07F1-CC4A-6419687ED4A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943348" y="9526"/>
              <a:ext cx="2524127" cy="904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142876</xdr:colOff>
      <xdr:row>0</xdr:row>
      <xdr:rowOff>19050</xdr:rowOff>
    </xdr:from>
    <xdr:to>
      <xdr:col>12</xdr:col>
      <xdr:colOff>266700</xdr:colOff>
      <xdr:row>4</xdr:row>
      <xdr:rowOff>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2EF9685-D77E-0615-8694-A93DE12FB90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467476" y="19050"/>
              <a:ext cx="2562224"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8.558234143522" createdVersion="8" refreshedVersion="8" minRefreshableVersion="3" recordCount="50" xr:uid="{9E1B56CF-084B-4719-944B-D7DC571F0DD6}">
  <cacheSource type="worksheet">
    <worksheetSource ref="A1:H51" sheet="Raw Data"/>
  </cacheSource>
  <cacheFields count="9">
    <cacheField name="Order ID" numFmtId="0">
      <sharedItems/>
    </cacheField>
    <cacheField name="Date" numFmtId="164">
      <sharedItems containsSemiMixedTypes="0" containsNonDate="0" containsDate="1" containsString="0" minDate="2026-01-01T00:00:00" maxDate="2026-02-20T00:00:00" count="5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sharedItems>
      <fieldGroup par="8"/>
    </cacheField>
    <cacheField name="Customer Name" numFmtId="0">
      <sharedItems count="50">
        <s v="Rahul Sharma"/>
        <s v="Priya Singh"/>
        <s v="Aman Verma"/>
        <s v="Neha Gupta"/>
        <s v="Rohit Kumar"/>
        <s v="Pooja Yadav"/>
        <s v="Ankit Singh"/>
        <s v="Simran Verma"/>
        <s v="Vikas Gupta"/>
        <s v="Riya Sharma"/>
        <s v="Arjun Kumar"/>
        <s v="Kajal Singh"/>
        <s v="Sumit Yadav"/>
        <s v="Anjali Gupta"/>
        <s v="Deepak Verma"/>
        <s v="Sakshi Sharma"/>
        <s v="Nitin Singh"/>
        <s v="Komal Yadav"/>
        <s v="Varun Gupta"/>
        <s v="Shivani Kumar"/>
        <s v="Mohit Sharma"/>
        <s v="Ritika Singh"/>
        <s v="Abhishek Verma"/>
        <s v="Tanya Gupta"/>
        <s v="Saurabh Yadav"/>
        <s v="Shreya Singh"/>
        <s v="Manish Kumar"/>
        <s v="Preeti Sharma"/>
        <s v="Akash Gupta"/>
        <s v="Divya Verma"/>
        <s v="Raj Kumar"/>
        <s v="Nisha Yadav"/>
        <s v="Karan Singh"/>
        <s v="Muskan Gupta"/>
        <s v="Harsh Verma"/>
        <s v="Aarti Sharma"/>
        <s v="Gaurav Kumar"/>
        <s v="Rashmi Singh"/>
        <s v="Manoj Yadav"/>
        <s v="Isha Gupta"/>
        <s v="Varun Sharma"/>
        <s v="Payal Verma"/>
        <s v="Ravi Singh"/>
        <s v="Shalini Yadav"/>
        <s v="Ajay Kumar"/>
        <s v="Monika Gupta"/>
        <s v="Rajesh Verma"/>
        <s v="Swati Sharma"/>
        <s v="Vivek Yadav"/>
        <s v="Shweta Singh"/>
      </sharedItems>
    </cacheField>
    <cacheField name="Product" numFmtId="0">
      <sharedItems count="4">
        <s v="Laptop"/>
        <s v="Mouse"/>
        <s v="Keyboard"/>
        <s v="Monitor"/>
      </sharedItems>
    </cacheField>
    <cacheField name="Region" numFmtId="0">
      <sharedItems count="4">
        <s v="North"/>
        <s v="South"/>
        <s v="East"/>
        <s v="West"/>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800" maxValue="45000"/>
    </cacheField>
    <cacheField name="Total Sales" numFmtId="0">
      <sharedItems containsSemiMixedTypes="0" containsString="0" containsNumber="1" containsInteger="1" minValue="3200" maxValue="90000"/>
    </cacheField>
    <cacheField name="Months (Date)" numFmtId="0" databaseField="0">
      <fieldGroup base="1">
        <rangePr groupBy="months" startDate="2026-01-01T00:00:00" endDate="2026-02-20T00:00:00"/>
        <groupItems count="14">
          <s v="&lt;1/1/2026"/>
          <s v="Jan"/>
          <s v="Feb"/>
          <s v="Mar"/>
          <s v="Apr"/>
          <s v="May"/>
          <s v="Jun"/>
          <s v="Jul"/>
          <s v="Aug"/>
          <s v="Sep"/>
          <s v="Oct"/>
          <s v="Nov"/>
          <s v="Dec"/>
          <s v="&gt;2/20/2026"/>
        </groupItems>
      </fieldGroup>
    </cacheField>
  </cacheFields>
  <extLst>
    <ext xmlns:x14="http://schemas.microsoft.com/office/spreadsheetml/2009/9/main" uri="{725AE2AE-9491-48be-B2B4-4EB974FC3084}">
      <x14:pivotCacheDefinition pivotCacheId="20620176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ORD001"/>
    <x v="0"/>
    <x v="0"/>
    <x v="0"/>
    <x v="0"/>
    <n v="2"/>
    <n v="45000"/>
    <n v="90000"/>
  </r>
  <r>
    <s v="ORD002"/>
    <x v="1"/>
    <x v="1"/>
    <x v="1"/>
    <x v="1"/>
    <n v="5"/>
    <n v="800"/>
    <n v="4000"/>
  </r>
  <r>
    <s v="ORD003"/>
    <x v="2"/>
    <x v="2"/>
    <x v="2"/>
    <x v="2"/>
    <n v="3"/>
    <n v="1500"/>
    <n v="4500"/>
  </r>
  <r>
    <s v="ORD004"/>
    <x v="3"/>
    <x v="3"/>
    <x v="3"/>
    <x v="3"/>
    <n v="2"/>
    <n v="12000"/>
    <n v="24000"/>
  </r>
  <r>
    <s v="ORD005"/>
    <x v="4"/>
    <x v="4"/>
    <x v="0"/>
    <x v="2"/>
    <n v="1"/>
    <n v="45000"/>
    <n v="45000"/>
  </r>
  <r>
    <s v="ORD006"/>
    <x v="5"/>
    <x v="5"/>
    <x v="2"/>
    <x v="0"/>
    <n v="4"/>
    <n v="1500"/>
    <n v="6000"/>
  </r>
  <r>
    <s v="ORD007"/>
    <x v="6"/>
    <x v="6"/>
    <x v="1"/>
    <x v="3"/>
    <n v="8"/>
    <n v="800"/>
    <n v="6400"/>
  </r>
  <r>
    <s v="ORD008"/>
    <x v="7"/>
    <x v="7"/>
    <x v="3"/>
    <x v="1"/>
    <n v="3"/>
    <n v="12000"/>
    <n v="36000"/>
  </r>
  <r>
    <s v="ORD009"/>
    <x v="8"/>
    <x v="8"/>
    <x v="0"/>
    <x v="0"/>
    <n v="2"/>
    <n v="45000"/>
    <n v="90000"/>
  </r>
  <r>
    <s v="ORD010"/>
    <x v="9"/>
    <x v="9"/>
    <x v="1"/>
    <x v="2"/>
    <n v="6"/>
    <n v="800"/>
    <n v="4800"/>
  </r>
  <r>
    <s v="ORD011"/>
    <x v="10"/>
    <x v="10"/>
    <x v="2"/>
    <x v="1"/>
    <n v="5"/>
    <n v="1500"/>
    <n v="7500"/>
  </r>
  <r>
    <s v="ORD012"/>
    <x v="11"/>
    <x v="11"/>
    <x v="3"/>
    <x v="3"/>
    <n v="1"/>
    <n v="12000"/>
    <n v="12000"/>
  </r>
  <r>
    <s v="ORD013"/>
    <x v="12"/>
    <x v="12"/>
    <x v="0"/>
    <x v="2"/>
    <n v="2"/>
    <n v="45000"/>
    <n v="90000"/>
  </r>
  <r>
    <s v="ORD014"/>
    <x v="13"/>
    <x v="13"/>
    <x v="1"/>
    <x v="0"/>
    <n v="4"/>
    <n v="800"/>
    <n v="3200"/>
  </r>
  <r>
    <s v="ORD015"/>
    <x v="14"/>
    <x v="14"/>
    <x v="2"/>
    <x v="3"/>
    <n v="7"/>
    <n v="1500"/>
    <n v="10500"/>
  </r>
  <r>
    <s v="ORD016"/>
    <x v="15"/>
    <x v="15"/>
    <x v="3"/>
    <x v="1"/>
    <n v="2"/>
    <n v="12000"/>
    <n v="24000"/>
  </r>
  <r>
    <s v="ORD017"/>
    <x v="16"/>
    <x v="16"/>
    <x v="0"/>
    <x v="0"/>
    <n v="1"/>
    <n v="45000"/>
    <n v="45000"/>
  </r>
  <r>
    <s v="ORD018"/>
    <x v="17"/>
    <x v="17"/>
    <x v="1"/>
    <x v="2"/>
    <n v="9"/>
    <n v="800"/>
    <n v="7200"/>
  </r>
  <r>
    <s v="ORD019"/>
    <x v="18"/>
    <x v="18"/>
    <x v="2"/>
    <x v="1"/>
    <n v="3"/>
    <n v="1500"/>
    <n v="4500"/>
  </r>
  <r>
    <s v="ORD020"/>
    <x v="19"/>
    <x v="19"/>
    <x v="3"/>
    <x v="3"/>
    <n v="2"/>
    <n v="12000"/>
    <n v="24000"/>
  </r>
  <r>
    <s v="ORD021"/>
    <x v="20"/>
    <x v="20"/>
    <x v="0"/>
    <x v="2"/>
    <n v="1"/>
    <n v="45000"/>
    <n v="45000"/>
  </r>
  <r>
    <s v="ORD022"/>
    <x v="21"/>
    <x v="21"/>
    <x v="1"/>
    <x v="0"/>
    <n v="5"/>
    <n v="800"/>
    <n v="4000"/>
  </r>
  <r>
    <s v="ORD023"/>
    <x v="22"/>
    <x v="22"/>
    <x v="2"/>
    <x v="3"/>
    <n v="6"/>
    <n v="1500"/>
    <n v="9000"/>
  </r>
  <r>
    <s v="ORD024"/>
    <x v="23"/>
    <x v="23"/>
    <x v="3"/>
    <x v="1"/>
    <n v="3"/>
    <n v="12000"/>
    <n v="36000"/>
  </r>
  <r>
    <s v="ORD025"/>
    <x v="24"/>
    <x v="24"/>
    <x v="0"/>
    <x v="0"/>
    <n v="2"/>
    <n v="45000"/>
    <n v="90000"/>
  </r>
  <r>
    <s v="ORD026"/>
    <x v="25"/>
    <x v="25"/>
    <x v="1"/>
    <x v="2"/>
    <n v="7"/>
    <n v="800"/>
    <n v="5600"/>
  </r>
  <r>
    <s v="ORD027"/>
    <x v="26"/>
    <x v="26"/>
    <x v="2"/>
    <x v="1"/>
    <n v="4"/>
    <n v="1500"/>
    <n v="6000"/>
  </r>
  <r>
    <s v="ORD028"/>
    <x v="27"/>
    <x v="27"/>
    <x v="3"/>
    <x v="3"/>
    <n v="1"/>
    <n v="12000"/>
    <n v="12000"/>
  </r>
  <r>
    <s v="ORD029"/>
    <x v="28"/>
    <x v="28"/>
    <x v="0"/>
    <x v="2"/>
    <n v="2"/>
    <n v="45000"/>
    <n v="90000"/>
  </r>
  <r>
    <s v="ORD030"/>
    <x v="29"/>
    <x v="29"/>
    <x v="1"/>
    <x v="0"/>
    <n v="8"/>
    <n v="800"/>
    <n v="6400"/>
  </r>
  <r>
    <s v="ORD031"/>
    <x v="30"/>
    <x v="30"/>
    <x v="2"/>
    <x v="3"/>
    <n v="5"/>
    <n v="1500"/>
    <n v="7500"/>
  </r>
  <r>
    <s v="ORD032"/>
    <x v="31"/>
    <x v="31"/>
    <x v="3"/>
    <x v="1"/>
    <n v="2"/>
    <n v="12000"/>
    <n v="24000"/>
  </r>
  <r>
    <s v="ORD033"/>
    <x v="32"/>
    <x v="32"/>
    <x v="0"/>
    <x v="0"/>
    <n v="1"/>
    <n v="45000"/>
    <n v="45000"/>
  </r>
  <r>
    <s v="ORD034"/>
    <x v="33"/>
    <x v="33"/>
    <x v="1"/>
    <x v="2"/>
    <n v="6"/>
    <n v="800"/>
    <n v="4800"/>
  </r>
  <r>
    <s v="ORD035"/>
    <x v="34"/>
    <x v="34"/>
    <x v="2"/>
    <x v="1"/>
    <n v="3"/>
    <n v="1500"/>
    <n v="4500"/>
  </r>
  <r>
    <s v="ORD036"/>
    <x v="35"/>
    <x v="35"/>
    <x v="3"/>
    <x v="3"/>
    <n v="2"/>
    <n v="12000"/>
    <n v="24000"/>
  </r>
  <r>
    <s v="ORD037"/>
    <x v="36"/>
    <x v="36"/>
    <x v="0"/>
    <x v="2"/>
    <n v="2"/>
    <n v="45000"/>
    <n v="90000"/>
  </r>
  <r>
    <s v="ORD038"/>
    <x v="37"/>
    <x v="37"/>
    <x v="1"/>
    <x v="0"/>
    <n v="5"/>
    <n v="800"/>
    <n v="4000"/>
  </r>
  <r>
    <s v="ORD039"/>
    <x v="38"/>
    <x v="38"/>
    <x v="2"/>
    <x v="3"/>
    <n v="4"/>
    <n v="1500"/>
    <n v="6000"/>
  </r>
  <r>
    <s v="ORD040"/>
    <x v="39"/>
    <x v="39"/>
    <x v="3"/>
    <x v="1"/>
    <n v="3"/>
    <n v="12000"/>
    <n v="36000"/>
  </r>
  <r>
    <s v="ORD041"/>
    <x v="40"/>
    <x v="40"/>
    <x v="0"/>
    <x v="0"/>
    <n v="1"/>
    <n v="45000"/>
    <n v="45000"/>
  </r>
  <r>
    <s v="ORD042"/>
    <x v="41"/>
    <x v="41"/>
    <x v="1"/>
    <x v="2"/>
    <n v="9"/>
    <n v="800"/>
    <n v="7200"/>
  </r>
  <r>
    <s v="ORD043"/>
    <x v="42"/>
    <x v="42"/>
    <x v="2"/>
    <x v="1"/>
    <n v="5"/>
    <n v="1500"/>
    <n v="7500"/>
  </r>
  <r>
    <s v="ORD044"/>
    <x v="43"/>
    <x v="43"/>
    <x v="3"/>
    <x v="3"/>
    <n v="1"/>
    <n v="12000"/>
    <n v="12000"/>
  </r>
  <r>
    <s v="ORD045"/>
    <x v="44"/>
    <x v="44"/>
    <x v="0"/>
    <x v="2"/>
    <n v="2"/>
    <n v="45000"/>
    <n v="90000"/>
  </r>
  <r>
    <s v="ORD046"/>
    <x v="45"/>
    <x v="45"/>
    <x v="1"/>
    <x v="0"/>
    <n v="4"/>
    <n v="800"/>
    <n v="3200"/>
  </r>
  <r>
    <s v="ORD047"/>
    <x v="46"/>
    <x v="46"/>
    <x v="2"/>
    <x v="3"/>
    <n v="6"/>
    <n v="1500"/>
    <n v="9000"/>
  </r>
  <r>
    <s v="ORD048"/>
    <x v="47"/>
    <x v="47"/>
    <x v="3"/>
    <x v="1"/>
    <n v="2"/>
    <n v="12000"/>
    <n v="24000"/>
  </r>
  <r>
    <s v="ORD049"/>
    <x v="48"/>
    <x v="48"/>
    <x v="0"/>
    <x v="0"/>
    <n v="1"/>
    <n v="45000"/>
    <n v="45000"/>
  </r>
  <r>
    <s v="ORD050"/>
    <x v="49"/>
    <x v="49"/>
    <x v="1"/>
    <x v="2"/>
    <n v="7"/>
    <n v="800"/>
    <n v="5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4C4AB8-0852-4B67-A8C7-8D4EB4AFDC6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3:J6" firstHeaderRow="1" firstDataRow="1" firstDataCol="1"/>
  <pivotFields count="9">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h="1" x="35"/>
        <item h="1" x="22"/>
        <item h="1" x="44"/>
        <item h="1" x="28"/>
        <item h="1" x="2"/>
        <item h="1" x="13"/>
        <item h="1" x="6"/>
        <item h="1" x="10"/>
        <item h="1" x="14"/>
        <item h="1" x="29"/>
        <item h="1" x="36"/>
        <item h="1" x="34"/>
        <item h="1" x="39"/>
        <item h="1" x="11"/>
        <item h="1" x="32"/>
        <item h="1" x="17"/>
        <item h="1" x="26"/>
        <item h="1" x="38"/>
        <item h="1" x="20"/>
        <item h="1" x="45"/>
        <item h="1" x="33"/>
        <item h="1" x="3"/>
        <item h="1" x="31"/>
        <item h="1" x="16"/>
        <item h="1" x="41"/>
        <item h="1" x="5"/>
        <item h="1" x="27"/>
        <item h="1" x="1"/>
        <item h="1" x="0"/>
        <item h="1" x="30"/>
        <item h="1" x="46"/>
        <item h="1" x="37"/>
        <item h="1" x="42"/>
        <item h="1" x="21"/>
        <item h="1" x="9"/>
        <item h="1" x="4"/>
        <item h="1" x="15"/>
        <item h="1" x="24"/>
        <item x="43"/>
        <item h="1" x="19"/>
        <item h="1" x="25"/>
        <item h="1" x="49"/>
        <item h="1" x="7"/>
        <item h="1" x="12"/>
        <item h="1" x="47"/>
        <item h="1" x="23"/>
        <item h="1" x="18"/>
        <item h="1" x="40"/>
        <item h="1" x="8"/>
        <item h="1" x="48"/>
        <item t="default"/>
      </items>
    </pivotField>
    <pivotField showAll="0">
      <items count="5">
        <item x="2"/>
        <item x="0"/>
        <item x="3"/>
        <item x="1"/>
        <item t="default"/>
      </items>
    </pivotField>
    <pivotField showAll="0">
      <items count="5">
        <item x="2"/>
        <item x="0"/>
        <item x="1"/>
        <item x="3"/>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s>
  <rowFields count="1">
    <field x="8"/>
  </rowFields>
  <rowItems count="3">
    <i>
      <x v="1"/>
    </i>
    <i>
      <x v="2"/>
    </i>
    <i t="grand">
      <x/>
    </i>
  </rowItems>
  <colItems count="1">
    <i/>
  </colItems>
  <dataFields count="1">
    <dataField name="Sum of Total Sales" fld="7" baseField="0" baseItem="0"/>
  </dataFields>
  <chartFormats count="2">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69CA51-198C-45ED-90D2-91E5B081447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3:F8" firstHeaderRow="1" firstDataRow="1" firstDataCol="1"/>
  <pivotFields count="9">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h="1" x="35"/>
        <item h="1" x="22"/>
        <item h="1" x="44"/>
        <item h="1" x="28"/>
        <item h="1" x="2"/>
        <item h="1" x="13"/>
        <item h="1" x="6"/>
        <item h="1" x="10"/>
        <item h="1" x="14"/>
        <item h="1" x="29"/>
        <item h="1" x="36"/>
        <item h="1" x="34"/>
        <item h="1" x="39"/>
        <item h="1" x="11"/>
        <item h="1" x="32"/>
        <item h="1" x="17"/>
        <item h="1" x="26"/>
        <item h="1" x="38"/>
        <item h="1" x="20"/>
        <item h="1" x="45"/>
        <item h="1" x="33"/>
        <item h="1" x="3"/>
        <item h="1" x="31"/>
        <item h="1" x="16"/>
        <item h="1" x="41"/>
        <item h="1" x="5"/>
        <item h="1" x="27"/>
        <item h="1" x="1"/>
        <item h="1" x="0"/>
        <item h="1" x="30"/>
        <item h="1" x="46"/>
        <item h="1" x="37"/>
        <item h="1" x="42"/>
        <item h="1" x="21"/>
        <item h="1" x="9"/>
        <item h="1" x="4"/>
        <item h="1" x="15"/>
        <item h="1" x="24"/>
        <item x="43"/>
        <item h="1" x="19"/>
        <item h="1" x="25"/>
        <item h="1" x="49"/>
        <item h="1" x="7"/>
        <item h="1" x="12"/>
        <item h="1" x="47"/>
        <item h="1" x="23"/>
        <item h="1" x="18"/>
        <item h="1" x="40"/>
        <item h="1" x="8"/>
        <item h="1" x="48"/>
        <item t="default"/>
      </items>
    </pivotField>
    <pivotField axis="axisRow" showAll="0">
      <items count="5">
        <item x="2"/>
        <item x="0"/>
        <item x="3"/>
        <item x="1"/>
        <item t="default"/>
      </items>
    </pivotField>
    <pivotField showAll="0">
      <items count="5">
        <item x="2"/>
        <item x="0"/>
        <item x="1"/>
        <item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B61065-BDCA-4A5B-8E55-B8B16DD0A00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9">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h="1" x="35"/>
        <item h="1" x="22"/>
        <item h="1" x="44"/>
        <item h="1" x="28"/>
        <item h="1" x="2"/>
        <item h="1" x="13"/>
        <item h="1" x="6"/>
        <item h="1" x="10"/>
        <item h="1" x="14"/>
        <item h="1" x="29"/>
        <item h="1" x="36"/>
        <item h="1" x="34"/>
        <item h="1" x="39"/>
        <item h="1" x="11"/>
        <item h="1" x="32"/>
        <item h="1" x="17"/>
        <item h="1" x="26"/>
        <item h="1" x="38"/>
        <item h="1" x="20"/>
        <item h="1" x="45"/>
        <item h="1" x="33"/>
        <item h="1" x="3"/>
        <item h="1" x="31"/>
        <item h="1" x="16"/>
        <item h="1" x="41"/>
        <item h="1" x="5"/>
        <item h="1" x="27"/>
        <item h="1" x="1"/>
        <item h="1" x="0"/>
        <item h="1" x="30"/>
        <item h="1" x="46"/>
        <item h="1" x="37"/>
        <item h="1" x="42"/>
        <item h="1" x="21"/>
        <item h="1" x="9"/>
        <item h="1" x="4"/>
        <item h="1" x="15"/>
        <item h="1" x="24"/>
        <item x="43"/>
        <item h="1" x="19"/>
        <item h="1" x="25"/>
        <item h="1" x="49"/>
        <item h="1" x="7"/>
        <item h="1" x="12"/>
        <item h="1" x="47"/>
        <item h="1" x="23"/>
        <item h="1" x="18"/>
        <item h="1" x="40"/>
        <item h="1" x="8"/>
        <item h="1" x="48"/>
        <item t="default"/>
      </items>
    </pivotField>
    <pivotField showAll="0">
      <items count="5">
        <item x="2"/>
        <item x="0"/>
        <item x="3"/>
        <item x="1"/>
        <item t="default"/>
      </items>
    </pivotField>
    <pivotField axis="axisRow" showAll="0">
      <items count="5">
        <item x="2"/>
        <item x="0"/>
        <item x="1"/>
        <item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Total Sales"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4A81ED3-BB13-4CB1-8A3E-C3EAE166461B}" sourceName="Product">
  <pivotTables>
    <pivotTable tabId="2" name="PivotTable1"/>
    <pivotTable tabId="2" name="PivotTable2"/>
    <pivotTable tabId="2" name="PivotTable4"/>
  </pivotTables>
  <data>
    <tabular pivotCacheId="206201769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C6065D-11D6-4F96-B9CE-189E954AA2A6}" sourceName="Region">
  <pivotTables>
    <pivotTable tabId="2" name="PivotTable1"/>
    <pivotTable tabId="2" name="PivotTable2"/>
    <pivotTable tabId="2" name="PivotTable4"/>
  </pivotTables>
  <data>
    <tabular pivotCacheId="206201769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5840FE2-CEF2-404A-89BD-95F1A76AC789}" cache="Slicer_Product" caption="Product" columnCount="2" style="SlicerStyleDark4" rowHeight="241300"/>
  <slicer name="Region" xr10:uid="{2479A630-307C-4BCF-9E73-DA3008519311}" cache="Slicer_Region" caption="Region" columnCount="2"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topLeftCell="A30" zoomScale="91" workbookViewId="0">
      <selection activeCell="L54" sqref="L54"/>
    </sheetView>
  </sheetViews>
  <sheetFormatPr defaultRowHeight="15" x14ac:dyDescent="0.25"/>
  <cols>
    <col min="1" max="1" width="10.5703125" customWidth="1"/>
    <col min="2" max="2" width="11.140625" style="1" customWidth="1"/>
    <col min="3" max="3" width="17.42578125" customWidth="1"/>
    <col min="4" max="4" width="10" customWidth="1"/>
    <col min="5" max="5" width="9.28515625" customWidth="1"/>
    <col min="6" max="6" width="10.85546875" customWidth="1"/>
    <col min="7" max="7" width="11.85546875" customWidth="1"/>
    <col min="8" max="8" width="12.5703125" customWidth="1"/>
  </cols>
  <sheetData>
    <row r="1" spans="1:8" x14ac:dyDescent="0.25">
      <c r="A1" s="4" t="s">
        <v>0</v>
      </c>
      <c r="B1" s="5" t="s">
        <v>1</v>
      </c>
      <c r="C1" s="6" t="s">
        <v>2</v>
      </c>
      <c r="D1" s="6" t="s">
        <v>3</v>
      </c>
      <c r="E1" s="6" t="s">
        <v>4</v>
      </c>
      <c r="F1" s="6" t="s">
        <v>5</v>
      </c>
      <c r="G1" s="6" t="s">
        <v>6</v>
      </c>
      <c r="H1" s="7" t="s">
        <v>7</v>
      </c>
    </row>
    <row r="2" spans="1:8" x14ac:dyDescent="0.25">
      <c r="A2" s="8" t="s">
        <v>8</v>
      </c>
      <c r="B2" s="9">
        <v>46023</v>
      </c>
      <c r="C2" s="10" t="s">
        <v>9</v>
      </c>
      <c r="D2" s="10" t="s">
        <v>10</v>
      </c>
      <c r="E2" s="10" t="s">
        <v>11</v>
      </c>
      <c r="F2" s="10">
        <v>2</v>
      </c>
      <c r="G2" s="10">
        <v>45000</v>
      </c>
      <c r="H2" s="11">
        <v>90000</v>
      </c>
    </row>
    <row r="3" spans="1:8" x14ac:dyDescent="0.25">
      <c r="A3" s="12" t="s">
        <v>12</v>
      </c>
      <c r="B3" s="13">
        <v>46024</v>
      </c>
      <c r="C3" s="14" t="s">
        <v>13</v>
      </c>
      <c r="D3" s="14" t="s">
        <v>14</v>
      </c>
      <c r="E3" s="14" t="s">
        <v>15</v>
      </c>
      <c r="F3" s="14">
        <v>5</v>
      </c>
      <c r="G3" s="14">
        <v>800</v>
      </c>
      <c r="H3" s="15">
        <v>4000</v>
      </c>
    </row>
    <row r="4" spans="1:8" x14ac:dyDescent="0.25">
      <c r="A4" s="8" t="s">
        <v>16</v>
      </c>
      <c r="B4" s="9">
        <v>46025</v>
      </c>
      <c r="C4" s="10" t="s">
        <v>17</v>
      </c>
      <c r="D4" s="10" t="s">
        <v>18</v>
      </c>
      <c r="E4" s="10" t="s">
        <v>19</v>
      </c>
      <c r="F4" s="10">
        <v>3</v>
      </c>
      <c r="G4" s="10">
        <v>1500</v>
      </c>
      <c r="H4" s="11">
        <v>4500</v>
      </c>
    </row>
    <row r="5" spans="1:8" x14ac:dyDescent="0.25">
      <c r="A5" s="12" t="s">
        <v>20</v>
      </c>
      <c r="B5" s="13">
        <v>46026</v>
      </c>
      <c r="C5" s="14" t="s">
        <v>21</v>
      </c>
      <c r="D5" s="14" t="s">
        <v>22</v>
      </c>
      <c r="E5" s="14" t="s">
        <v>23</v>
      </c>
      <c r="F5" s="14">
        <v>2</v>
      </c>
      <c r="G5" s="14">
        <v>12000</v>
      </c>
      <c r="H5" s="15">
        <v>24000</v>
      </c>
    </row>
    <row r="6" spans="1:8" x14ac:dyDescent="0.25">
      <c r="A6" s="8" t="s">
        <v>24</v>
      </c>
      <c r="B6" s="9">
        <v>46027</v>
      </c>
      <c r="C6" s="10" t="s">
        <v>25</v>
      </c>
      <c r="D6" s="10" t="s">
        <v>10</v>
      </c>
      <c r="E6" s="10" t="s">
        <v>19</v>
      </c>
      <c r="F6" s="10">
        <v>1</v>
      </c>
      <c r="G6" s="10">
        <v>45000</v>
      </c>
      <c r="H6" s="11">
        <v>45000</v>
      </c>
    </row>
    <row r="7" spans="1:8" x14ac:dyDescent="0.25">
      <c r="A7" s="12" t="s">
        <v>26</v>
      </c>
      <c r="B7" s="13">
        <v>46028</v>
      </c>
      <c r="C7" s="14" t="s">
        <v>27</v>
      </c>
      <c r="D7" s="14" t="s">
        <v>18</v>
      </c>
      <c r="E7" s="14" t="s">
        <v>11</v>
      </c>
      <c r="F7" s="14">
        <v>4</v>
      </c>
      <c r="G7" s="14">
        <v>1500</v>
      </c>
      <c r="H7" s="15">
        <v>6000</v>
      </c>
    </row>
    <row r="8" spans="1:8" x14ac:dyDescent="0.25">
      <c r="A8" s="8" t="s">
        <v>28</v>
      </c>
      <c r="B8" s="9">
        <v>46029</v>
      </c>
      <c r="C8" s="10" t="s">
        <v>29</v>
      </c>
      <c r="D8" s="10" t="s">
        <v>14</v>
      </c>
      <c r="E8" s="10" t="s">
        <v>23</v>
      </c>
      <c r="F8" s="10">
        <v>8</v>
      </c>
      <c r="G8" s="10">
        <v>800</v>
      </c>
      <c r="H8" s="11">
        <v>6400</v>
      </c>
    </row>
    <row r="9" spans="1:8" x14ac:dyDescent="0.25">
      <c r="A9" s="12" t="s">
        <v>30</v>
      </c>
      <c r="B9" s="13">
        <v>46030</v>
      </c>
      <c r="C9" s="14" t="s">
        <v>31</v>
      </c>
      <c r="D9" s="14" t="s">
        <v>22</v>
      </c>
      <c r="E9" s="14" t="s">
        <v>15</v>
      </c>
      <c r="F9" s="14">
        <v>3</v>
      </c>
      <c r="G9" s="14">
        <v>12000</v>
      </c>
      <c r="H9" s="15">
        <v>36000</v>
      </c>
    </row>
    <row r="10" spans="1:8" x14ac:dyDescent="0.25">
      <c r="A10" s="8" t="s">
        <v>32</v>
      </c>
      <c r="B10" s="9">
        <v>46031</v>
      </c>
      <c r="C10" s="10" t="s">
        <v>33</v>
      </c>
      <c r="D10" s="10" t="s">
        <v>10</v>
      </c>
      <c r="E10" s="10" t="s">
        <v>11</v>
      </c>
      <c r="F10" s="10">
        <v>2</v>
      </c>
      <c r="G10" s="10">
        <v>45000</v>
      </c>
      <c r="H10" s="11">
        <v>90000</v>
      </c>
    </row>
    <row r="11" spans="1:8" x14ac:dyDescent="0.25">
      <c r="A11" s="12" t="s">
        <v>34</v>
      </c>
      <c r="B11" s="13">
        <v>46032</v>
      </c>
      <c r="C11" s="14" t="s">
        <v>35</v>
      </c>
      <c r="D11" s="14" t="s">
        <v>14</v>
      </c>
      <c r="E11" s="14" t="s">
        <v>19</v>
      </c>
      <c r="F11" s="14">
        <v>6</v>
      </c>
      <c r="G11" s="14">
        <v>800</v>
      </c>
      <c r="H11" s="15">
        <v>4800</v>
      </c>
    </row>
    <row r="12" spans="1:8" x14ac:dyDescent="0.25">
      <c r="A12" s="8" t="s">
        <v>36</v>
      </c>
      <c r="B12" s="9">
        <v>46033</v>
      </c>
      <c r="C12" s="10" t="s">
        <v>37</v>
      </c>
      <c r="D12" s="10" t="s">
        <v>18</v>
      </c>
      <c r="E12" s="10" t="s">
        <v>15</v>
      </c>
      <c r="F12" s="10">
        <v>5</v>
      </c>
      <c r="G12" s="10">
        <v>1500</v>
      </c>
      <c r="H12" s="11">
        <v>7500</v>
      </c>
    </row>
    <row r="13" spans="1:8" x14ac:dyDescent="0.25">
      <c r="A13" s="12" t="s">
        <v>38</v>
      </c>
      <c r="B13" s="13">
        <v>46034</v>
      </c>
      <c r="C13" s="14" t="s">
        <v>39</v>
      </c>
      <c r="D13" s="14" t="s">
        <v>22</v>
      </c>
      <c r="E13" s="14" t="s">
        <v>23</v>
      </c>
      <c r="F13" s="14">
        <v>1</v>
      </c>
      <c r="G13" s="14">
        <v>12000</v>
      </c>
      <c r="H13" s="15">
        <v>12000</v>
      </c>
    </row>
    <row r="14" spans="1:8" x14ac:dyDescent="0.25">
      <c r="A14" s="8" t="s">
        <v>40</v>
      </c>
      <c r="B14" s="9">
        <v>46035</v>
      </c>
      <c r="C14" s="10" t="s">
        <v>41</v>
      </c>
      <c r="D14" s="10" t="s">
        <v>10</v>
      </c>
      <c r="E14" s="10" t="s">
        <v>19</v>
      </c>
      <c r="F14" s="10">
        <v>2</v>
      </c>
      <c r="G14" s="10">
        <v>45000</v>
      </c>
      <c r="H14" s="11">
        <v>90000</v>
      </c>
    </row>
    <row r="15" spans="1:8" x14ac:dyDescent="0.25">
      <c r="A15" s="12" t="s">
        <v>42</v>
      </c>
      <c r="B15" s="13">
        <v>46036</v>
      </c>
      <c r="C15" s="14" t="s">
        <v>43</v>
      </c>
      <c r="D15" s="14" t="s">
        <v>14</v>
      </c>
      <c r="E15" s="14" t="s">
        <v>11</v>
      </c>
      <c r="F15" s="14">
        <v>4</v>
      </c>
      <c r="G15" s="14">
        <v>800</v>
      </c>
      <c r="H15" s="15">
        <v>3200</v>
      </c>
    </row>
    <row r="16" spans="1:8" x14ac:dyDescent="0.25">
      <c r="A16" s="8" t="s">
        <v>44</v>
      </c>
      <c r="B16" s="9">
        <v>46037</v>
      </c>
      <c r="C16" s="10" t="s">
        <v>45</v>
      </c>
      <c r="D16" s="10" t="s">
        <v>18</v>
      </c>
      <c r="E16" s="10" t="s">
        <v>23</v>
      </c>
      <c r="F16" s="10">
        <v>7</v>
      </c>
      <c r="G16" s="10">
        <v>1500</v>
      </c>
      <c r="H16" s="11">
        <v>10500</v>
      </c>
    </row>
    <row r="17" spans="1:8" x14ac:dyDescent="0.25">
      <c r="A17" s="12" t="s">
        <v>46</v>
      </c>
      <c r="B17" s="13">
        <v>46038</v>
      </c>
      <c r="C17" s="14" t="s">
        <v>47</v>
      </c>
      <c r="D17" s="14" t="s">
        <v>22</v>
      </c>
      <c r="E17" s="14" t="s">
        <v>15</v>
      </c>
      <c r="F17" s="14">
        <v>2</v>
      </c>
      <c r="G17" s="14">
        <v>12000</v>
      </c>
      <c r="H17" s="15">
        <v>24000</v>
      </c>
    </row>
    <row r="18" spans="1:8" x14ac:dyDescent="0.25">
      <c r="A18" s="8" t="s">
        <v>48</v>
      </c>
      <c r="B18" s="9">
        <v>46039</v>
      </c>
      <c r="C18" s="10" t="s">
        <v>49</v>
      </c>
      <c r="D18" s="10" t="s">
        <v>10</v>
      </c>
      <c r="E18" s="10" t="s">
        <v>11</v>
      </c>
      <c r="F18" s="10">
        <v>1</v>
      </c>
      <c r="G18" s="10">
        <v>45000</v>
      </c>
      <c r="H18" s="11">
        <v>45000</v>
      </c>
    </row>
    <row r="19" spans="1:8" x14ac:dyDescent="0.25">
      <c r="A19" s="12" t="s">
        <v>50</v>
      </c>
      <c r="B19" s="13">
        <v>46040</v>
      </c>
      <c r="C19" s="14" t="s">
        <v>51</v>
      </c>
      <c r="D19" s="14" t="s">
        <v>14</v>
      </c>
      <c r="E19" s="14" t="s">
        <v>19</v>
      </c>
      <c r="F19" s="14">
        <v>9</v>
      </c>
      <c r="G19" s="14">
        <v>800</v>
      </c>
      <c r="H19" s="15">
        <v>7200</v>
      </c>
    </row>
    <row r="20" spans="1:8" x14ac:dyDescent="0.25">
      <c r="A20" s="8" t="s">
        <v>52</v>
      </c>
      <c r="B20" s="9">
        <v>46041</v>
      </c>
      <c r="C20" s="10" t="s">
        <v>53</v>
      </c>
      <c r="D20" s="10" t="s">
        <v>18</v>
      </c>
      <c r="E20" s="10" t="s">
        <v>15</v>
      </c>
      <c r="F20" s="10">
        <v>3</v>
      </c>
      <c r="G20" s="10">
        <v>1500</v>
      </c>
      <c r="H20" s="11">
        <v>4500</v>
      </c>
    </row>
    <row r="21" spans="1:8" x14ac:dyDescent="0.25">
      <c r="A21" s="12" t="s">
        <v>54</v>
      </c>
      <c r="B21" s="13">
        <v>46042</v>
      </c>
      <c r="C21" s="14" t="s">
        <v>55</v>
      </c>
      <c r="D21" s="14" t="s">
        <v>22</v>
      </c>
      <c r="E21" s="14" t="s">
        <v>23</v>
      </c>
      <c r="F21" s="14">
        <v>2</v>
      </c>
      <c r="G21" s="14">
        <v>12000</v>
      </c>
      <c r="H21" s="15">
        <v>24000</v>
      </c>
    </row>
    <row r="22" spans="1:8" x14ac:dyDescent="0.25">
      <c r="A22" s="8" t="s">
        <v>56</v>
      </c>
      <c r="B22" s="9">
        <v>46043</v>
      </c>
      <c r="C22" s="10" t="s">
        <v>57</v>
      </c>
      <c r="D22" s="10" t="s">
        <v>10</v>
      </c>
      <c r="E22" s="10" t="s">
        <v>19</v>
      </c>
      <c r="F22" s="10">
        <v>1</v>
      </c>
      <c r="G22" s="10">
        <v>45000</v>
      </c>
      <c r="H22" s="11">
        <v>45000</v>
      </c>
    </row>
    <row r="23" spans="1:8" x14ac:dyDescent="0.25">
      <c r="A23" s="12" t="s">
        <v>58</v>
      </c>
      <c r="B23" s="13">
        <v>46044</v>
      </c>
      <c r="C23" s="14" t="s">
        <v>59</v>
      </c>
      <c r="D23" s="14" t="s">
        <v>14</v>
      </c>
      <c r="E23" s="14" t="s">
        <v>11</v>
      </c>
      <c r="F23" s="14">
        <v>5</v>
      </c>
      <c r="G23" s="14">
        <v>800</v>
      </c>
      <c r="H23" s="15">
        <v>4000</v>
      </c>
    </row>
    <row r="24" spans="1:8" x14ac:dyDescent="0.25">
      <c r="A24" s="8" t="s">
        <v>60</v>
      </c>
      <c r="B24" s="9">
        <v>46045</v>
      </c>
      <c r="C24" s="10" t="s">
        <v>61</v>
      </c>
      <c r="D24" s="10" t="s">
        <v>18</v>
      </c>
      <c r="E24" s="10" t="s">
        <v>23</v>
      </c>
      <c r="F24" s="10">
        <v>6</v>
      </c>
      <c r="G24" s="10">
        <v>1500</v>
      </c>
      <c r="H24" s="11">
        <v>9000</v>
      </c>
    </row>
    <row r="25" spans="1:8" x14ac:dyDescent="0.25">
      <c r="A25" s="12" t="s">
        <v>62</v>
      </c>
      <c r="B25" s="13">
        <v>46046</v>
      </c>
      <c r="C25" s="14" t="s">
        <v>63</v>
      </c>
      <c r="D25" s="14" t="s">
        <v>22</v>
      </c>
      <c r="E25" s="14" t="s">
        <v>15</v>
      </c>
      <c r="F25" s="14">
        <v>3</v>
      </c>
      <c r="G25" s="14">
        <v>12000</v>
      </c>
      <c r="H25" s="15">
        <v>36000</v>
      </c>
    </row>
    <row r="26" spans="1:8" x14ac:dyDescent="0.25">
      <c r="A26" s="8" t="s">
        <v>64</v>
      </c>
      <c r="B26" s="9">
        <v>46047</v>
      </c>
      <c r="C26" s="10" t="s">
        <v>65</v>
      </c>
      <c r="D26" s="10" t="s">
        <v>10</v>
      </c>
      <c r="E26" s="10" t="s">
        <v>11</v>
      </c>
      <c r="F26" s="10">
        <v>2</v>
      </c>
      <c r="G26" s="10">
        <v>45000</v>
      </c>
      <c r="H26" s="11">
        <v>90000</v>
      </c>
    </row>
    <row r="27" spans="1:8" x14ac:dyDescent="0.25">
      <c r="A27" s="12" t="s">
        <v>66</v>
      </c>
      <c r="B27" s="13">
        <v>46048</v>
      </c>
      <c r="C27" s="14" t="s">
        <v>67</v>
      </c>
      <c r="D27" s="14" t="s">
        <v>14</v>
      </c>
      <c r="E27" s="14" t="s">
        <v>19</v>
      </c>
      <c r="F27" s="14">
        <v>7</v>
      </c>
      <c r="G27" s="14">
        <v>800</v>
      </c>
      <c r="H27" s="15">
        <v>5600</v>
      </c>
    </row>
    <row r="28" spans="1:8" x14ac:dyDescent="0.25">
      <c r="A28" s="8" t="s">
        <v>68</v>
      </c>
      <c r="B28" s="9">
        <v>46049</v>
      </c>
      <c r="C28" s="10" t="s">
        <v>69</v>
      </c>
      <c r="D28" s="10" t="s">
        <v>18</v>
      </c>
      <c r="E28" s="10" t="s">
        <v>15</v>
      </c>
      <c r="F28" s="10">
        <v>4</v>
      </c>
      <c r="G28" s="10">
        <v>1500</v>
      </c>
      <c r="H28" s="11">
        <v>6000</v>
      </c>
    </row>
    <row r="29" spans="1:8" x14ac:dyDescent="0.25">
      <c r="A29" s="12" t="s">
        <v>70</v>
      </c>
      <c r="B29" s="13">
        <v>46050</v>
      </c>
      <c r="C29" s="14" t="s">
        <v>71</v>
      </c>
      <c r="D29" s="14" t="s">
        <v>22</v>
      </c>
      <c r="E29" s="14" t="s">
        <v>23</v>
      </c>
      <c r="F29" s="14">
        <v>1</v>
      </c>
      <c r="G29" s="14">
        <v>12000</v>
      </c>
      <c r="H29" s="15">
        <v>12000</v>
      </c>
    </row>
    <row r="30" spans="1:8" x14ac:dyDescent="0.25">
      <c r="A30" s="8" t="s">
        <v>72</v>
      </c>
      <c r="B30" s="9">
        <v>46051</v>
      </c>
      <c r="C30" s="10" t="s">
        <v>73</v>
      </c>
      <c r="D30" s="10" t="s">
        <v>10</v>
      </c>
      <c r="E30" s="10" t="s">
        <v>19</v>
      </c>
      <c r="F30" s="10">
        <v>2</v>
      </c>
      <c r="G30" s="10">
        <v>45000</v>
      </c>
      <c r="H30" s="11">
        <v>90000</v>
      </c>
    </row>
    <row r="31" spans="1:8" x14ac:dyDescent="0.25">
      <c r="A31" s="12" t="s">
        <v>74</v>
      </c>
      <c r="B31" s="13">
        <v>46052</v>
      </c>
      <c r="C31" s="14" t="s">
        <v>75</v>
      </c>
      <c r="D31" s="14" t="s">
        <v>14</v>
      </c>
      <c r="E31" s="14" t="s">
        <v>11</v>
      </c>
      <c r="F31" s="14">
        <v>8</v>
      </c>
      <c r="G31" s="14">
        <v>800</v>
      </c>
      <c r="H31" s="15">
        <v>6400</v>
      </c>
    </row>
    <row r="32" spans="1:8" x14ac:dyDescent="0.25">
      <c r="A32" s="8" t="s">
        <v>76</v>
      </c>
      <c r="B32" s="9">
        <v>46053</v>
      </c>
      <c r="C32" s="10" t="s">
        <v>77</v>
      </c>
      <c r="D32" s="10" t="s">
        <v>18</v>
      </c>
      <c r="E32" s="10" t="s">
        <v>23</v>
      </c>
      <c r="F32" s="10">
        <v>5</v>
      </c>
      <c r="G32" s="10">
        <v>1500</v>
      </c>
      <c r="H32" s="11">
        <v>7500</v>
      </c>
    </row>
    <row r="33" spans="1:8" x14ac:dyDescent="0.25">
      <c r="A33" s="12" t="s">
        <v>78</v>
      </c>
      <c r="B33" s="13">
        <v>46054</v>
      </c>
      <c r="C33" s="14" t="s">
        <v>79</v>
      </c>
      <c r="D33" s="14" t="s">
        <v>22</v>
      </c>
      <c r="E33" s="14" t="s">
        <v>15</v>
      </c>
      <c r="F33" s="14">
        <v>2</v>
      </c>
      <c r="G33" s="14">
        <v>12000</v>
      </c>
      <c r="H33" s="15">
        <v>24000</v>
      </c>
    </row>
    <row r="34" spans="1:8" x14ac:dyDescent="0.25">
      <c r="A34" s="8" t="s">
        <v>80</v>
      </c>
      <c r="B34" s="9">
        <v>46055</v>
      </c>
      <c r="C34" s="10" t="s">
        <v>81</v>
      </c>
      <c r="D34" s="10" t="s">
        <v>10</v>
      </c>
      <c r="E34" s="10" t="s">
        <v>11</v>
      </c>
      <c r="F34" s="10">
        <v>1</v>
      </c>
      <c r="G34" s="10">
        <v>45000</v>
      </c>
      <c r="H34" s="11">
        <v>45000</v>
      </c>
    </row>
    <row r="35" spans="1:8" x14ac:dyDescent="0.25">
      <c r="A35" s="12" t="s">
        <v>82</v>
      </c>
      <c r="B35" s="13">
        <v>46056</v>
      </c>
      <c r="C35" s="14" t="s">
        <v>83</v>
      </c>
      <c r="D35" s="14" t="s">
        <v>14</v>
      </c>
      <c r="E35" s="14" t="s">
        <v>19</v>
      </c>
      <c r="F35" s="14">
        <v>6</v>
      </c>
      <c r="G35" s="14">
        <v>800</v>
      </c>
      <c r="H35" s="15">
        <v>4800</v>
      </c>
    </row>
    <row r="36" spans="1:8" x14ac:dyDescent="0.25">
      <c r="A36" s="8" t="s">
        <v>84</v>
      </c>
      <c r="B36" s="9">
        <v>46057</v>
      </c>
      <c r="C36" s="10" t="s">
        <v>85</v>
      </c>
      <c r="D36" s="10" t="s">
        <v>18</v>
      </c>
      <c r="E36" s="10" t="s">
        <v>15</v>
      </c>
      <c r="F36" s="10">
        <v>3</v>
      </c>
      <c r="G36" s="10">
        <v>1500</v>
      </c>
      <c r="H36" s="11">
        <v>4500</v>
      </c>
    </row>
    <row r="37" spans="1:8" x14ac:dyDescent="0.25">
      <c r="A37" s="12" t="s">
        <v>86</v>
      </c>
      <c r="B37" s="13">
        <v>46058</v>
      </c>
      <c r="C37" s="14" t="s">
        <v>87</v>
      </c>
      <c r="D37" s="14" t="s">
        <v>22</v>
      </c>
      <c r="E37" s="14" t="s">
        <v>23</v>
      </c>
      <c r="F37" s="14">
        <v>2</v>
      </c>
      <c r="G37" s="14">
        <v>12000</v>
      </c>
      <c r="H37" s="15">
        <v>24000</v>
      </c>
    </row>
    <row r="38" spans="1:8" x14ac:dyDescent="0.25">
      <c r="A38" s="8" t="s">
        <v>88</v>
      </c>
      <c r="B38" s="9">
        <v>46059</v>
      </c>
      <c r="C38" s="10" t="s">
        <v>89</v>
      </c>
      <c r="D38" s="10" t="s">
        <v>10</v>
      </c>
      <c r="E38" s="10" t="s">
        <v>19</v>
      </c>
      <c r="F38" s="10">
        <v>2</v>
      </c>
      <c r="G38" s="10">
        <v>45000</v>
      </c>
      <c r="H38" s="11">
        <v>90000</v>
      </c>
    </row>
    <row r="39" spans="1:8" x14ac:dyDescent="0.25">
      <c r="A39" s="12" t="s">
        <v>90</v>
      </c>
      <c r="B39" s="13">
        <v>46060</v>
      </c>
      <c r="C39" s="14" t="s">
        <v>91</v>
      </c>
      <c r="D39" s="14" t="s">
        <v>14</v>
      </c>
      <c r="E39" s="14" t="s">
        <v>11</v>
      </c>
      <c r="F39" s="14">
        <v>5</v>
      </c>
      <c r="G39" s="14">
        <v>800</v>
      </c>
      <c r="H39" s="15">
        <v>4000</v>
      </c>
    </row>
    <row r="40" spans="1:8" x14ac:dyDescent="0.25">
      <c r="A40" s="8" t="s">
        <v>92</v>
      </c>
      <c r="B40" s="9">
        <v>46061</v>
      </c>
      <c r="C40" s="10" t="s">
        <v>93</v>
      </c>
      <c r="D40" s="10" t="s">
        <v>18</v>
      </c>
      <c r="E40" s="10" t="s">
        <v>23</v>
      </c>
      <c r="F40" s="10">
        <v>4</v>
      </c>
      <c r="G40" s="10">
        <v>1500</v>
      </c>
      <c r="H40" s="11">
        <v>6000</v>
      </c>
    </row>
    <row r="41" spans="1:8" x14ac:dyDescent="0.25">
      <c r="A41" s="12" t="s">
        <v>94</v>
      </c>
      <c r="B41" s="13">
        <v>46062</v>
      </c>
      <c r="C41" s="14" t="s">
        <v>95</v>
      </c>
      <c r="D41" s="14" t="s">
        <v>22</v>
      </c>
      <c r="E41" s="14" t="s">
        <v>15</v>
      </c>
      <c r="F41" s="14">
        <v>3</v>
      </c>
      <c r="G41" s="14">
        <v>12000</v>
      </c>
      <c r="H41" s="15">
        <v>36000</v>
      </c>
    </row>
    <row r="42" spans="1:8" x14ac:dyDescent="0.25">
      <c r="A42" s="8" t="s">
        <v>96</v>
      </c>
      <c r="B42" s="9">
        <v>46063</v>
      </c>
      <c r="C42" s="10" t="s">
        <v>97</v>
      </c>
      <c r="D42" s="10" t="s">
        <v>10</v>
      </c>
      <c r="E42" s="10" t="s">
        <v>11</v>
      </c>
      <c r="F42" s="10">
        <v>1</v>
      </c>
      <c r="G42" s="10">
        <v>45000</v>
      </c>
      <c r="H42" s="11">
        <v>45000</v>
      </c>
    </row>
    <row r="43" spans="1:8" x14ac:dyDescent="0.25">
      <c r="A43" s="12" t="s">
        <v>98</v>
      </c>
      <c r="B43" s="13">
        <v>46064</v>
      </c>
      <c r="C43" s="14" t="s">
        <v>99</v>
      </c>
      <c r="D43" s="14" t="s">
        <v>14</v>
      </c>
      <c r="E43" s="14" t="s">
        <v>19</v>
      </c>
      <c r="F43" s="14">
        <v>9</v>
      </c>
      <c r="G43" s="14">
        <v>800</v>
      </c>
      <c r="H43" s="15">
        <v>7200</v>
      </c>
    </row>
    <row r="44" spans="1:8" x14ac:dyDescent="0.25">
      <c r="A44" s="8" t="s">
        <v>100</v>
      </c>
      <c r="B44" s="9">
        <v>46065</v>
      </c>
      <c r="C44" s="10" t="s">
        <v>101</v>
      </c>
      <c r="D44" s="10" t="s">
        <v>18</v>
      </c>
      <c r="E44" s="10" t="s">
        <v>15</v>
      </c>
      <c r="F44" s="10">
        <v>5</v>
      </c>
      <c r="G44" s="10">
        <v>1500</v>
      </c>
      <c r="H44" s="11">
        <v>7500</v>
      </c>
    </row>
    <row r="45" spans="1:8" x14ac:dyDescent="0.25">
      <c r="A45" s="12" t="s">
        <v>102</v>
      </c>
      <c r="B45" s="13">
        <v>46066</v>
      </c>
      <c r="C45" s="14" t="s">
        <v>103</v>
      </c>
      <c r="D45" s="14" t="s">
        <v>22</v>
      </c>
      <c r="E45" s="14" t="s">
        <v>23</v>
      </c>
      <c r="F45" s="14">
        <v>1</v>
      </c>
      <c r="G45" s="14">
        <v>12000</v>
      </c>
      <c r="H45" s="15">
        <v>12000</v>
      </c>
    </row>
    <row r="46" spans="1:8" x14ac:dyDescent="0.25">
      <c r="A46" s="8" t="s">
        <v>104</v>
      </c>
      <c r="B46" s="9">
        <v>46067</v>
      </c>
      <c r="C46" s="10" t="s">
        <v>105</v>
      </c>
      <c r="D46" s="10" t="s">
        <v>10</v>
      </c>
      <c r="E46" s="10" t="s">
        <v>19</v>
      </c>
      <c r="F46" s="10">
        <v>2</v>
      </c>
      <c r="G46" s="10">
        <v>45000</v>
      </c>
      <c r="H46" s="11">
        <v>90000</v>
      </c>
    </row>
    <row r="47" spans="1:8" x14ac:dyDescent="0.25">
      <c r="A47" s="12" t="s">
        <v>106</v>
      </c>
      <c r="B47" s="13">
        <v>46068</v>
      </c>
      <c r="C47" s="14" t="s">
        <v>107</v>
      </c>
      <c r="D47" s="14" t="s">
        <v>14</v>
      </c>
      <c r="E47" s="14" t="s">
        <v>11</v>
      </c>
      <c r="F47" s="14">
        <v>4</v>
      </c>
      <c r="G47" s="14">
        <v>800</v>
      </c>
      <c r="H47" s="15">
        <v>3200</v>
      </c>
    </row>
    <row r="48" spans="1:8" x14ac:dyDescent="0.25">
      <c r="A48" s="8" t="s">
        <v>108</v>
      </c>
      <c r="B48" s="9">
        <v>46069</v>
      </c>
      <c r="C48" s="10" t="s">
        <v>109</v>
      </c>
      <c r="D48" s="10" t="s">
        <v>18</v>
      </c>
      <c r="E48" s="10" t="s">
        <v>23</v>
      </c>
      <c r="F48" s="10">
        <v>6</v>
      </c>
      <c r="G48" s="10">
        <v>1500</v>
      </c>
      <c r="H48" s="11">
        <v>9000</v>
      </c>
    </row>
    <row r="49" spans="1:8" x14ac:dyDescent="0.25">
      <c r="A49" s="12" t="s">
        <v>110</v>
      </c>
      <c r="B49" s="13">
        <v>46070</v>
      </c>
      <c r="C49" s="14" t="s">
        <v>111</v>
      </c>
      <c r="D49" s="14" t="s">
        <v>22</v>
      </c>
      <c r="E49" s="14" t="s">
        <v>15</v>
      </c>
      <c r="F49" s="14">
        <v>2</v>
      </c>
      <c r="G49" s="14">
        <v>12000</v>
      </c>
      <c r="H49" s="15">
        <v>24000</v>
      </c>
    </row>
    <row r="50" spans="1:8" x14ac:dyDescent="0.25">
      <c r="A50" s="8" t="s">
        <v>112</v>
      </c>
      <c r="B50" s="9">
        <v>46071</v>
      </c>
      <c r="C50" s="10" t="s">
        <v>113</v>
      </c>
      <c r="D50" s="10" t="s">
        <v>10</v>
      </c>
      <c r="E50" s="10" t="s">
        <v>11</v>
      </c>
      <c r="F50" s="10">
        <v>1</v>
      </c>
      <c r="G50" s="10">
        <v>45000</v>
      </c>
      <c r="H50" s="11">
        <v>45000</v>
      </c>
    </row>
    <row r="51" spans="1:8" x14ac:dyDescent="0.25">
      <c r="A51" s="12" t="s">
        <v>114</v>
      </c>
      <c r="B51" s="13">
        <v>46072</v>
      </c>
      <c r="C51" s="14" t="s">
        <v>115</v>
      </c>
      <c r="D51" s="14" t="s">
        <v>14</v>
      </c>
      <c r="E51" s="14" t="s">
        <v>19</v>
      </c>
      <c r="F51" s="14">
        <v>7</v>
      </c>
      <c r="G51" s="14">
        <v>800</v>
      </c>
      <c r="H51" s="15">
        <v>5600</v>
      </c>
    </row>
    <row r="52" spans="1:8" x14ac:dyDescent="0.25">
      <c r="B5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B2C34-2C0F-42C9-9CB9-83F9F92B6BA3}">
  <dimension ref="A3:J8"/>
  <sheetViews>
    <sheetView zoomScale="81" workbookViewId="0">
      <selection activeCell="I1" sqref="I1"/>
    </sheetView>
  </sheetViews>
  <sheetFormatPr defaultRowHeight="15" x14ac:dyDescent="0.25"/>
  <cols>
    <col min="1" max="1" width="13.85546875" bestFit="1" customWidth="1"/>
    <col min="2" max="2" width="17.5703125" bestFit="1" customWidth="1"/>
    <col min="5" max="5" width="13.85546875" bestFit="1" customWidth="1"/>
    <col min="6" max="6" width="17.5703125" bestFit="1" customWidth="1"/>
    <col min="9" max="9" width="13.85546875" bestFit="1" customWidth="1"/>
    <col min="10" max="10" width="17.5703125" bestFit="1" customWidth="1"/>
  </cols>
  <sheetData>
    <row r="3" spans="1:10" x14ac:dyDescent="0.25">
      <c r="A3" s="2" t="s">
        <v>116</v>
      </c>
      <c r="B3" t="s">
        <v>118</v>
      </c>
      <c r="E3" s="2" t="s">
        <v>116</v>
      </c>
      <c r="F3" t="s">
        <v>118</v>
      </c>
      <c r="I3" s="2" t="s">
        <v>116</v>
      </c>
      <c r="J3" t="s">
        <v>118</v>
      </c>
    </row>
    <row r="4" spans="1:10" x14ac:dyDescent="0.25">
      <c r="A4" s="3" t="s">
        <v>19</v>
      </c>
      <c r="B4" s="19">
        <v>489700</v>
      </c>
      <c r="E4" s="3" t="s">
        <v>18</v>
      </c>
      <c r="F4" s="19">
        <v>82500</v>
      </c>
      <c r="I4" s="3" t="s">
        <v>119</v>
      </c>
      <c r="J4" s="19">
        <v>850100</v>
      </c>
    </row>
    <row r="5" spans="1:10" x14ac:dyDescent="0.25">
      <c r="A5" s="3" t="s">
        <v>11</v>
      </c>
      <c r="B5" s="19">
        <v>476800</v>
      </c>
      <c r="E5" s="3" t="s">
        <v>10</v>
      </c>
      <c r="F5" s="19">
        <v>900000</v>
      </c>
      <c r="I5" s="3" t="s">
        <v>120</v>
      </c>
      <c r="J5" s="19">
        <v>486800</v>
      </c>
    </row>
    <row r="6" spans="1:10" x14ac:dyDescent="0.25">
      <c r="A6" s="3" t="s">
        <v>15</v>
      </c>
      <c r="B6" s="19">
        <v>214000</v>
      </c>
      <c r="E6" s="3" t="s">
        <v>22</v>
      </c>
      <c r="F6" s="19">
        <v>288000</v>
      </c>
      <c r="I6" s="3" t="s">
        <v>117</v>
      </c>
      <c r="J6" s="19">
        <v>1336900</v>
      </c>
    </row>
    <row r="7" spans="1:10" x14ac:dyDescent="0.25">
      <c r="A7" s="3" t="s">
        <v>23</v>
      </c>
      <c r="B7" s="19">
        <v>156400</v>
      </c>
      <c r="E7" s="3" t="s">
        <v>14</v>
      </c>
      <c r="F7" s="19">
        <v>66400</v>
      </c>
    </row>
    <row r="8" spans="1:10" x14ac:dyDescent="0.25">
      <c r="A8" s="3" t="s">
        <v>117</v>
      </c>
      <c r="B8" s="19">
        <v>1336900</v>
      </c>
      <c r="E8" s="3" t="s">
        <v>117</v>
      </c>
      <c r="F8" s="19">
        <v>1336900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4B999-A9BF-4AF3-90D8-569E13A7BC8B}">
  <dimension ref="A1:D3"/>
  <sheetViews>
    <sheetView tabSelected="1" workbookViewId="0">
      <selection activeCell="P3" sqref="P3"/>
    </sheetView>
  </sheetViews>
  <sheetFormatPr defaultRowHeight="15" x14ac:dyDescent="0.25"/>
  <cols>
    <col min="1" max="1" width="20.140625" bestFit="1" customWidth="1"/>
    <col min="2" max="2" width="11" bestFit="1" customWidth="1"/>
    <col min="3" max="3" width="13.7109375" bestFit="1" customWidth="1"/>
    <col min="4" max="4" width="13.42578125" bestFit="1" customWidth="1"/>
  </cols>
  <sheetData>
    <row r="1" spans="1:4" ht="27" x14ac:dyDescent="0.5">
      <c r="A1" s="17" t="s">
        <v>124</v>
      </c>
      <c r="B1" s="16"/>
      <c r="C1" s="16"/>
      <c r="D1" s="16"/>
    </row>
    <row r="2" spans="1:4" x14ac:dyDescent="0.25">
      <c r="A2" s="18" t="s">
        <v>7</v>
      </c>
      <c r="B2" s="18" t="s">
        <v>121</v>
      </c>
      <c r="C2" s="18" t="s">
        <v>123</v>
      </c>
      <c r="D2" s="18" t="s">
        <v>122</v>
      </c>
    </row>
    <row r="3" spans="1:4" x14ac:dyDescent="0.25">
      <c r="A3" s="18">
        <f>SUM('Raw Data'!H:H)</f>
        <v>1336900</v>
      </c>
      <c r="B3" s="18">
        <f>COUNTA('Raw Data'!A2:A51)</f>
        <v>50</v>
      </c>
      <c r="C3" s="18">
        <f>SUM('Raw Data'!F2:F51)</f>
        <v>182</v>
      </c>
      <c r="D3" s="18">
        <f>AVERAGE('Raw Data'!H2:H51)</f>
        <v>26738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ayushi dubey</cp:lastModifiedBy>
  <dcterms:created xsi:type="dcterms:W3CDTF">2015-06-05T18:17:20Z</dcterms:created>
  <dcterms:modified xsi:type="dcterms:W3CDTF">2026-09-13T15:32:30Z</dcterms:modified>
</cp:coreProperties>
</file>